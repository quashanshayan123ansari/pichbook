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hecks" sheetId="1" state="visible" r:id="rId1"/>
    <sheet xmlns:r="http://schemas.openxmlformats.org/officeDocument/2006/relationships" name="2. Capitalisation" sheetId="2" state="visible" r:id="rId2"/>
    <sheet xmlns:r="http://schemas.openxmlformats.org/officeDocument/2006/relationships" name="3. Trading Multiples" sheetId="3" state="visible" r:id="rId3"/>
    <sheet xmlns:r="http://schemas.openxmlformats.org/officeDocument/2006/relationships" name="4. Income Statement" sheetId="4" state="visible" r:id="rId4"/>
    <sheet xmlns:r="http://schemas.openxmlformats.org/officeDocument/2006/relationships" name="5. Balance Sheet FY2025" sheetId="5" state="visible" r:id="rId5"/>
    <sheet xmlns:r="http://schemas.openxmlformats.org/officeDocument/2006/relationships" name="6. Growth Rates" sheetId="6" state="visible" r:id="rId6"/>
    <sheet xmlns:r="http://schemas.openxmlformats.org/officeDocument/2006/relationships" name="7. DCF (Illustrative)" sheetId="7" state="visible" r:id="rId7"/>
    <sheet xmlns:r="http://schemas.openxmlformats.org/officeDocument/2006/relationships" name="8. Valuation Summary" sheetId="8" state="visible" r:id="rId8"/>
    <sheet xmlns:r="http://schemas.openxmlformats.org/officeDocument/2006/relationships" name="9. To Verif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4315E"/>
      <sz val="12"/>
    </font>
    <font>
      <name val="Arial"/>
      <i val="1"/>
      <color rgb="00808080"/>
      <sz val="9"/>
    </font>
    <font>
      <name val="Arial"/>
      <b val="1"/>
      <color rgb="0014315E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1E8449"/>
      <sz val="9"/>
    </font>
    <font>
      <name val="Arial"/>
      <sz val="9"/>
    </font>
    <font>
      <name val="Arial"/>
      <i val="1"/>
      <color rgb="00B01F5F"/>
      <sz val="9"/>
    </font>
    <font>
      <name val="Arial"/>
      <b val="1"/>
      <color rgb="00B01F5F"/>
      <sz val="12"/>
    </font>
  </fonts>
  <fills count="12">
    <fill>
      <patternFill/>
    </fill>
    <fill>
      <patternFill patternType="gray125"/>
    </fill>
    <fill>
      <patternFill patternType="solid">
        <fgColor rgb="0014315E"/>
      </patternFill>
    </fill>
    <fill>
      <patternFill patternType="solid">
        <fgColor rgb="0029ABE2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CC"/>
      </patternFill>
    </fill>
    <fill>
      <patternFill patternType="solid">
        <fgColor rgb="00D6EAF8"/>
      </patternFill>
    </fill>
    <fill>
      <patternFill patternType="solid">
        <fgColor rgb="00FFE0E0"/>
      </patternFill>
    </fill>
    <fill>
      <patternFill patternType="solid">
        <fgColor rgb="00B01F5F"/>
      </patternFill>
    </fill>
    <fill>
      <patternFill patternType="solid">
        <fgColor rgb="00FFF9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6" fontId="5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center" vertical="center" wrapText="1"/>
    </xf>
    <xf numFmtId="2" fontId="7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6" fontId="7" fillId="5" borderId="1" applyAlignment="1" pivotButton="0" quotePrefix="0" xfId="0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7" fillId="8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8" fillId="0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5" fontId="5" fillId="7" borderId="1" applyAlignment="1" pivotButton="0" quotePrefix="0" xfId="0">
      <alignment horizontal="center" vertical="center" wrapText="1"/>
    </xf>
    <xf numFmtId="4" fontId="5" fillId="8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ATLAS — Stage 4 Verification Checks</t>
        </is>
      </c>
    </row>
    <row r="2" ht="14" customHeight="1">
      <c r="A2" s="2" t="inlineStr">
        <is>
          <t>Market Data Date: 25 September 2026  |  All figures INR Crore unless stated</t>
        </is>
      </c>
    </row>
    <row r="4">
      <c r="A4" s="3" t="inlineStr">
        <is>
          <t>CHECK 1 — EV Bridge: Mkt Cap + Net Debt = Enterprise Value</t>
        </is>
      </c>
    </row>
    <row r="5" ht="20" customHeight="1">
      <c r="A5" s="4" t="inlineStr">
        <is>
          <t>Company</t>
        </is>
      </c>
      <c r="B5" s="4" t="inlineStr">
        <is>
          <t>Mkt Cap (Cr)</t>
        </is>
      </c>
      <c r="C5" s="4" t="inlineStr">
        <is>
          <t>Net Debt (Cr)</t>
        </is>
      </c>
      <c r="D5" s="4" t="inlineStr">
        <is>
          <t>EV (Derived)</t>
        </is>
      </c>
      <c r="E5" s="4" t="inlineStr">
        <is>
          <t>EV (Stored)</t>
        </is>
      </c>
      <c r="F5" s="4" t="inlineStr">
        <is>
          <t>Difference</t>
        </is>
      </c>
      <c r="G5" s="4" t="inlineStr">
        <is>
          <t>Result</t>
        </is>
      </c>
    </row>
    <row r="6">
      <c r="A6" s="5" t="inlineStr">
        <is>
          <t>ATLAS</t>
        </is>
      </c>
      <c r="B6" s="6" t="n">
        <v>262752</v>
      </c>
      <c r="C6" s="7" t="n">
        <v>677.2</v>
      </c>
      <c r="D6" s="7" t="n">
        <v>263429.2</v>
      </c>
      <c r="E6" s="7" t="n">
        <v>263429.2</v>
      </c>
      <c r="F6" s="7" t="n">
        <v>0</v>
      </c>
      <c r="G6" s="8" t="inlineStr">
        <is>
          <t>PASS</t>
        </is>
      </c>
    </row>
    <row r="7">
      <c r="A7" s="9" t="inlineStr">
        <is>
          <t>HUL</t>
        </is>
      </c>
      <c r="B7" s="10" t="n">
        <v>455000</v>
      </c>
      <c r="C7" s="11" t="n">
        <v>-4424</v>
      </c>
      <c r="D7" s="11" t="n">
        <v>450576</v>
      </c>
      <c r="E7" s="11" t="n">
        <v>450576</v>
      </c>
      <c r="F7" s="11" t="n">
        <v>0</v>
      </c>
      <c r="G7" s="8" t="inlineStr">
        <is>
          <t>PASS</t>
        </is>
      </c>
    </row>
    <row r="8">
      <c r="A8" s="12" t="inlineStr">
        <is>
          <t>Britannia</t>
        </is>
      </c>
      <c r="B8" s="13" t="n">
        <v>117905</v>
      </c>
      <c r="C8" s="14" t="n">
        <v>1186.8</v>
      </c>
      <c r="D8" s="14" t="n">
        <v>119091.8</v>
      </c>
      <c r="E8" s="14" t="n">
        <v>119091.8</v>
      </c>
      <c r="F8" s="14" t="n">
        <v>0</v>
      </c>
      <c r="G8" s="8" t="inlineStr">
        <is>
          <t>PASS</t>
        </is>
      </c>
    </row>
    <row r="9">
      <c r="A9" s="9" t="inlineStr">
        <is>
          <t>Marico</t>
        </is>
      </c>
      <c r="B9" s="10" t="n">
        <v>106338</v>
      </c>
      <c r="C9" s="11" t="n">
        <v>-1596</v>
      </c>
      <c r="D9" s="11" t="n">
        <v>104742</v>
      </c>
      <c r="E9" s="11" t="n">
        <v>104742</v>
      </c>
      <c r="F9" s="11" t="n">
        <v>0</v>
      </c>
      <c r="G9" s="8" t="inlineStr">
        <is>
          <t>PASS</t>
        </is>
      </c>
    </row>
    <row r="10">
      <c r="A10" s="12" t="inlineStr">
        <is>
          <t>Dabur</t>
        </is>
      </c>
      <c r="B10" s="13" t="n">
        <v>68404</v>
      </c>
      <c r="C10" s="14" t="n">
        <v>-1541.7</v>
      </c>
      <c r="D10" s="14" t="n">
        <v>66862.3</v>
      </c>
      <c r="E10" s="14" t="n">
        <v>66862.3</v>
      </c>
      <c r="F10" s="14" t="n">
        <v>0</v>
      </c>
      <c r="G10" s="8" t="inlineStr">
        <is>
          <t>PASS</t>
        </is>
      </c>
    </row>
    <row r="11">
      <c r="A11" s="9" t="inlineStr">
        <is>
          <t>Tata Consumer</t>
        </is>
      </c>
      <c r="B11" s="10" t="n">
        <v>97307</v>
      </c>
      <c r="C11" s="11" t="n">
        <v>962.3</v>
      </c>
      <c r="D11" s="11" t="n">
        <v>98269.3</v>
      </c>
      <c r="E11" s="11" t="n">
        <v>98269.3</v>
      </c>
      <c r="F11" s="11" t="n">
        <v>0</v>
      </c>
      <c r="G11" s="8" t="inlineStr">
        <is>
          <t>PASS</t>
        </is>
      </c>
    </row>
    <row r="14">
      <c r="A14" s="3" t="inlineStr">
        <is>
          <t>CHECK 2 — Per Share × Shares = Market Capitalisation</t>
        </is>
      </c>
    </row>
    <row r="15" ht="20" customHeight="1">
      <c r="A15" s="4" t="inlineStr">
        <is>
          <t>Company</t>
        </is>
      </c>
      <c r="B15" s="4" t="inlineStr">
        <is>
          <t>Shares (mn)</t>
        </is>
      </c>
      <c r="C15" s="4" t="inlineStr">
        <is>
          <t>Price (INR)</t>
        </is>
      </c>
      <c r="D15" s="4" t="inlineStr">
        <is>
          <t>Implied Mkt Cap (Cr)</t>
        </is>
      </c>
      <c r="E15" s="4" t="inlineStr">
        <is>
          <t>Reported Mkt Cap (Cr)</t>
        </is>
      </c>
      <c r="F15" s="4" t="inlineStr">
        <is>
          <t>Gap (%)</t>
        </is>
      </c>
      <c r="G15" s="4" t="inlineStr">
        <is>
          <t>Result</t>
        </is>
      </c>
    </row>
    <row r="16">
      <c r="A16" s="5" t="inlineStr">
        <is>
          <t>ATLAS</t>
        </is>
      </c>
      <c r="B16" s="15" t="n">
        <v>1928.31</v>
      </c>
      <c r="C16" s="15" t="n">
        <v>1362.6</v>
      </c>
      <c r="D16" s="6" t="n">
        <v>262752</v>
      </c>
      <c r="E16" s="6" t="n">
        <v>262752</v>
      </c>
      <c r="F16" s="16" t="n">
        <v>0</v>
      </c>
      <c r="G16" s="8" t="inlineStr">
        <is>
          <t>PASS</t>
        </is>
      </c>
    </row>
    <row r="17">
      <c r="A17" s="9" t="inlineStr">
        <is>
          <t>HUL</t>
        </is>
      </c>
      <c r="B17" s="17" t="n">
        <v>2350</v>
      </c>
      <c r="C17" s="17" t="n">
        <v>1942.9</v>
      </c>
      <c r="D17" s="10" t="n">
        <v>456582</v>
      </c>
      <c r="E17" s="10" t="n">
        <v>455000</v>
      </c>
      <c r="F17" s="18" t="n">
        <v>0.003</v>
      </c>
      <c r="G17" s="8" t="inlineStr">
        <is>
          <t>PASS</t>
        </is>
      </c>
    </row>
    <row r="18">
      <c r="A18" s="12" t="inlineStr">
        <is>
          <t>Britannia</t>
        </is>
      </c>
      <c r="B18" s="19" t="n">
        <v>240.87</v>
      </c>
      <c r="C18" s="19" t="n">
        <v>4939</v>
      </c>
      <c r="D18" s="13" t="n">
        <v>118966</v>
      </c>
      <c r="E18" s="13" t="n">
        <v>117905</v>
      </c>
      <c r="F18" s="20" t="n">
        <v>0.008999999999999999</v>
      </c>
      <c r="G18" s="8" t="inlineStr">
        <is>
          <t>PASS</t>
        </is>
      </c>
    </row>
    <row r="19">
      <c r="A19" s="9" t="inlineStr">
        <is>
          <t>Marico</t>
        </is>
      </c>
      <c r="B19" s="17" t="n">
        <v>1293.9</v>
      </c>
      <c r="C19" s="17" t="n">
        <v>819</v>
      </c>
      <c r="D19" s="10" t="n">
        <v>105970</v>
      </c>
      <c r="E19" s="10" t="n">
        <v>106338</v>
      </c>
      <c r="F19" s="18" t="n">
        <v>0.003</v>
      </c>
      <c r="G19" s="8" t="inlineStr">
        <is>
          <t>PASS</t>
        </is>
      </c>
    </row>
    <row r="20">
      <c r="A20" s="12" t="inlineStr">
        <is>
          <t>Dabur</t>
        </is>
      </c>
      <c r="B20" s="19" t="n">
        <v>1771.5</v>
      </c>
      <c r="C20" s="19" t="n">
        <v>385.6</v>
      </c>
      <c r="D20" s="13" t="n">
        <v>68309</v>
      </c>
      <c r="E20" s="13" t="n">
        <v>68404</v>
      </c>
      <c r="F20" s="20" t="n">
        <v>0.001</v>
      </c>
      <c r="G20" s="8" t="inlineStr">
        <is>
          <t>PASS</t>
        </is>
      </c>
    </row>
    <row r="21">
      <c r="A21" s="9" t="inlineStr">
        <is>
          <t>Tata Consumer</t>
        </is>
      </c>
      <c r="B21" s="17" t="n">
        <v>989.5</v>
      </c>
      <c r="C21" s="17" t="n">
        <v>983</v>
      </c>
      <c r="D21" s="10" t="n">
        <v>97268</v>
      </c>
      <c r="E21" s="10" t="n">
        <v>97307</v>
      </c>
      <c r="F21" s="18" t="n">
        <v>0</v>
      </c>
      <c r="G21" s="8" t="inlineStr">
        <is>
          <t>PASS</t>
        </is>
      </c>
    </row>
  </sheetData>
  <mergeCells count="4">
    <mergeCell ref="A14:G14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Capitalisation and Market Data — 25 September 2026</t>
        </is>
      </c>
    </row>
    <row r="2">
      <c r="A2" s="2" t="inlineStr">
        <is>
          <t>INR Crore unless stated. ATLAS = Nestlé India Limited (NESTLEIND). LTM = FY2026 for ATLAS; FY2025 for peers.</t>
        </is>
      </c>
    </row>
    <row r="4" ht="20" customHeight="1">
      <c r="A4" s="4" t="inlineStr">
        <is>
          <t>Company</t>
        </is>
      </c>
      <c r="B4" s="4" t="inlineStr">
        <is>
          <t>Ticker</t>
        </is>
      </c>
      <c r="C4" s="4" t="inlineStr">
        <is>
          <t>Price (INR)</t>
        </is>
      </c>
      <c r="D4" s="4" t="inlineStr">
        <is>
          <t>Shares (mn)</t>
        </is>
      </c>
      <c r="E4" s="4" t="inlineStr">
        <is>
          <t>Mkt Cap (Cr)</t>
        </is>
      </c>
      <c r="F4" s="4" t="inlineStr">
        <is>
          <t>+ Debt (Cr)</t>
        </is>
      </c>
      <c r="G4" s="4" t="inlineStr">
        <is>
          <t>- Cash (Cr)</t>
        </is>
      </c>
      <c r="H4" s="4">
        <f> EV (Cr)</f>
        <v/>
      </c>
      <c r="I4" s="4" t="inlineStr">
        <is>
          <t>52-Wk High</t>
        </is>
      </c>
      <c r="J4" s="4" t="inlineStr">
        <is>
          <t>52-Wk Low</t>
        </is>
      </c>
      <c r="K4" s="4" t="inlineStr">
        <is>
          <t>vs 52-Wk High</t>
        </is>
      </c>
      <c r="L4" s="4" t="inlineStr">
        <is>
          <t>DPS FY2026 (INR)</t>
        </is>
      </c>
    </row>
    <row r="5">
      <c r="A5" s="5" t="inlineStr">
        <is>
          <t>ATLAS</t>
        </is>
      </c>
      <c r="B5" s="5" t="inlineStr">
        <is>
          <t>NESTLEIND</t>
        </is>
      </c>
      <c r="C5" s="15" t="n">
        <v>1362.6</v>
      </c>
      <c r="D5" s="15" t="n">
        <v>1928.31</v>
      </c>
      <c r="E5" s="21" t="n">
        <v>262752</v>
      </c>
      <c r="F5" s="6" t="n">
        <v>753</v>
      </c>
      <c r="G5" s="6" t="n">
        <v>76</v>
      </c>
      <c r="H5" s="21" t="n">
        <v>263429</v>
      </c>
      <c r="I5" s="15" t="n">
        <v>1553</v>
      </c>
      <c r="J5" s="15" t="n">
        <v>1145</v>
      </c>
      <c r="K5" s="16" t="n">
        <v>-0.123</v>
      </c>
      <c r="L5" s="15" t="n">
        <v>14</v>
      </c>
    </row>
    <row r="6">
      <c r="A6" s="12" t="inlineStr">
        <is>
          <t>HUL</t>
        </is>
      </c>
      <c r="B6" s="12" t="inlineStr">
        <is>
          <t>HINDUNILVR</t>
        </is>
      </c>
      <c r="C6" s="19" t="n">
        <v>1942.9</v>
      </c>
      <c r="D6" s="19" t="n">
        <v>2350</v>
      </c>
      <c r="E6" s="13" t="n">
        <v>455000</v>
      </c>
      <c r="F6" s="13" t="n">
        <v>1647</v>
      </c>
      <c r="G6" s="13" t="n">
        <v>6071</v>
      </c>
      <c r="H6" s="13" t="n">
        <v>450576</v>
      </c>
      <c r="I6" s="19" t="n">
        <v>2667.2</v>
      </c>
      <c r="J6" s="19" t="n">
        <v>1915</v>
      </c>
      <c r="K6" s="20" t="n">
        <v>-0.272</v>
      </c>
      <c r="L6" s="19" t="n">
        <v>41</v>
      </c>
    </row>
    <row r="7">
      <c r="A7" s="9" t="inlineStr">
        <is>
          <t>Britannia</t>
        </is>
      </c>
      <c r="B7" s="9" t="inlineStr">
        <is>
          <t>BRITANNIA</t>
        </is>
      </c>
      <c r="C7" s="17" t="n">
        <v>4939</v>
      </c>
      <c r="D7" s="17" t="n">
        <v>240.87</v>
      </c>
      <c r="E7" s="10" t="n">
        <v>117905</v>
      </c>
      <c r="F7" s="10" t="n">
        <v>1225</v>
      </c>
      <c r="G7" s="10" t="n">
        <v>38</v>
      </c>
      <c r="H7" s="10" t="n">
        <v>119092</v>
      </c>
      <c r="I7" s="17" t="n">
        <v>6271</v>
      </c>
      <c r="J7" s="17" t="n">
        <v>4883.35</v>
      </c>
      <c r="K7" s="18" t="n">
        <v>-0.213</v>
      </c>
      <c r="L7" s="17" t="n">
        <v>90.5</v>
      </c>
    </row>
    <row r="8">
      <c r="A8" s="12" t="inlineStr">
        <is>
          <t>Marico</t>
        </is>
      </c>
      <c r="B8" s="12" t="inlineStr">
        <is>
          <t>MARICO</t>
        </is>
      </c>
      <c r="C8" s="19" t="n">
        <v>819</v>
      </c>
      <c r="D8" s="19" t="n">
        <v>1293.9</v>
      </c>
      <c r="E8" s="13" t="n">
        <v>106338</v>
      </c>
      <c r="F8" s="13" t="n">
        <v>554</v>
      </c>
      <c r="G8" s="13" t="n">
        <v>2150</v>
      </c>
      <c r="H8" s="13" t="n">
        <v>104742</v>
      </c>
      <c r="I8" s="19" t="n">
        <v>889.1</v>
      </c>
      <c r="J8" s="19" t="n">
        <v>690.3</v>
      </c>
      <c r="K8" s="20" t="n">
        <v>-0.079</v>
      </c>
      <c r="L8" s="19" t="n">
        <v>4</v>
      </c>
    </row>
    <row r="9">
      <c r="A9" s="9" t="inlineStr">
        <is>
          <t>Dabur</t>
        </is>
      </c>
      <c r="B9" s="9" t="inlineStr">
        <is>
          <t>DABUR</t>
        </is>
      </c>
      <c r="C9" s="17" t="n">
        <v>385.6</v>
      </c>
      <c r="D9" s="17" t="n">
        <v>1771.5</v>
      </c>
      <c r="E9" s="10" t="n">
        <v>68404</v>
      </c>
      <c r="F9" s="10" t="n">
        <v>730</v>
      </c>
      <c r="G9" s="10" t="n">
        <v>2272</v>
      </c>
      <c r="H9" s="10" t="n">
        <v>66862</v>
      </c>
      <c r="I9" s="17" t="n">
        <v>534</v>
      </c>
      <c r="J9" s="17" t="n">
        <v>368.05</v>
      </c>
      <c r="K9" s="18" t="n">
        <v>-0.278</v>
      </c>
      <c r="L9" s="17" t="n">
        <v>8.25</v>
      </c>
    </row>
    <row r="10">
      <c r="A10" s="12" t="inlineStr">
        <is>
          <t>Tata Consumer</t>
        </is>
      </c>
      <c r="B10" s="12" t="inlineStr">
        <is>
          <t>TATACONSUM</t>
        </is>
      </c>
      <c r="C10" s="19" t="n">
        <v>983</v>
      </c>
      <c r="D10" s="19" t="n">
        <v>989.5</v>
      </c>
      <c r="E10" s="13" t="n">
        <v>97307</v>
      </c>
      <c r="F10" s="13" t="n">
        <v>2393</v>
      </c>
      <c r="G10" s="13" t="n">
        <v>1430</v>
      </c>
      <c r="H10" s="13" t="n">
        <v>98269</v>
      </c>
      <c r="I10" s="19" t="n">
        <v>1282.7</v>
      </c>
      <c r="J10" s="19" t="n">
        <v>979.2</v>
      </c>
      <c r="K10" s="20" t="n">
        <v>-0.234</v>
      </c>
      <c r="L10" s="19" t="n">
        <v>10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2" customWidth="1" min="5" max="5"/>
    <col width="10" customWidth="1" min="6" max="6"/>
    <col width="8" customWidth="1" min="7" max="7"/>
    <col width="16" customWidth="1" min="8" max="8"/>
  </cols>
  <sheetData>
    <row r="1">
      <c r="A1" s="1" t="inlineStr">
        <is>
          <t>Trading Multiples — 25 September 2026</t>
        </is>
      </c>
    </row>
    <row r="2">
      <c r="A2" s="2" t="inlineStr">
        <is>
          <t>LTM = FY2026 for ATLAS (Apr 2025–Mar 2026); FY2025 for all peers (Apr 2024–Mar 2025). All figures INR Crore.</t>
        </is>
      </c>
    </row>
    <row r="4" ht="20" customHeight="1">
      <c r="A4" s="4" t="inlineStr">
        <is>
          <t>Company</t>
        </is>
      </c>
      <c r="B4" s="4" t="inlineStr">
        <is>
          <t>LTM Period</t>
        </is>
      </c>
      <c r="C4" s="4" t="inlineStr">
        <is>
          <t>EV (Cr)</t>
        </is>
      </c>
      <c r="D4" s="4" t="inlineStr">
        <is>
          <t>LTM EBITDA (Cr)</t>
        </is>
      </c>
      <c r="E4" s="4" t="inlineStr">
        <is>
          <t>LTM PAT (Cr)</t>
        </is>
      </c>
      <c r="F4" s="4" t="inlineStr">
        <is>
          <t>EV / EBITDA</t>
        </is>
      </c>
      <c r="G4" s="4" t="inlineStr">
        <is>
          <t>P / E</t>
        </is>
      </c>
      <c r="H4" s="4" t="inlineStr">
        <is>
          <t>EV / Revenue</t>
        </is>
      </c>
    </row>
    <row r="5">
      <c r="A5" s="5" t="inlineStr">
        <is>
          <t>ATLAS</t>
        </is>
      </c>
      <c r="B5" s="22" t="inlineStr">
        <is>
          <t>FY2026</t>
        </is>
      </c>
      <c r="C5" s="6" t="n">
        <v>263429</v>
      </c>
      <c r="D5" s="6" t="n">
        <v>5306</v>
      </c>
      <c r="E5" s="6" t="n">
        <v>3545</v>
      </c>
      <c r="F5" s="23" t="n">
        <v>49.6</v>
      </c>
      <c r="G5" s="23" t="n">
        <v>74.09999999999999</v>
      </c>
      <c r="H5" s="24" t="n">
        <v>11.38</v>
      </c>
    </row>
    <row r="6">
      <c r="A6" s="12" t="inlineStr">
        <is>
          <t>HUL</t>
        </is>
      </c>
      <c r="B6" s="25" t="inlineStr">
        <is>
          <t>FY2025</t>
        </is>
      </c>
      <c r="C6" s="13" t="n">
        <v>450576</v>
      </c>
      <c r="D6" s="13" t="n">
        <v>14296</v>
      </c>
      <c r="E6" s="13" t="n">
        <v>10282</v>
      </c>
      <c r="F6" s="26" t="n">
        <v>31.5</v>
      </c>
      <c r="G6" s="26" t="n">
        <v>44.3</v>
      </c>
      <c r="H6" s="27" t="n">
        <v>7.44</v>
      </c>
    </row>
    <row r="7">
      <c r="A7" s="9" t="inlineStr">
        <is>
          <t>Britannia</t>
        </is>
      </c>
      <c r="B7" s="28" t="inlineStr">
        <is>
          <t>FY2025</t>
        </is>
      </c>
      <c r="C7" s="10" t="n">
        <v>119092</v>
      </c>
      <c r="D7" s="10" t="n">
        <v>2779</v>
      </c>
      <c r="E7" s="10" t="n">
        <v>2131</v>
      </c>
      <c r="F7" s="29" t="n">
        <v>42.9</v>
      </c>
      <c r="G7" s="29" t="n">
        <v>55.3</v>
      </c>
      <c r="H7" s="30" t="n">
        <v>6.89</v>
      </c>
    </row>
    <row r="8">
      <c r="A8" s="12" t="inlineStr">
        <is>
          <t>Marico</t>
        </is>
      </c>
      <c r="B8" s="25" t="inlineStr">
        <is>
          <t>FY2025</t>
        </is>
      </c>
      <c r="C8" s="13" t="n">
        <v>104742</v>
      </c>
      <c r="D8" s="13" t="n">
        <v>2138</v>
      </c>
      <c r="E8" s="13" t="n">
        <v>1658</v>
      </c>
      <c r="F8" s="26" t="n">
        <v>49</v>
      </c>
      <c r="G8" s="26" t="n">
        <v>64.09999999999999</v>
      </c>
      <c r="H8" s="27" t="n">
        <v>9.67</v>
      </c>
    </row>
    <row r="9">
      <c r="A9" s="9" t="inlineStr">
        <is>
          <t>Dabur</t>
        </is>
      </c>
      <c r="B9" s="28" t="inlineStr">
        <is>
          <t>FY2025</t>
        </is>
      </c>
      <c r="C9" s="10" t="n">
        <v>66862</v>
      </c>
      <c r="D9" s="10" t="n">
        <v>2316</v>
      </c>
      <c r="E9" s="10" t="n">
        <v>1740</v>
      </c>
      <c r="F9" s="29" t="n">
        <v>28.9</v>
      </c>
      <c r="G9" s="29" t="n">
        <v>39.3</v>
      </c>
      <c r="H9" s="30" t="n">
        <v>5.32</v>
      </c>
    </row>
    <row r="10">
      <c r="A10" s="12" t="inlineStr">
        <is>
          <t>Tata Consumer</t>
        </is>
      </c>
      <c r="B10" s="25" t="inlineStr">
        <is>
          <t>FY2025</t>
        </is>
      </c>
      <c r="C10" s="13" t="n">
        <v>98269</v>
      </c>
      <c r="D10" s="13" t="n">
        <v>2502</v>
      </c>
      <c r="E10" s="13" t="n">
        <v>1287</v>
      </c>
      <c r="F10" s="26" t="n">
        <v>39.3</v>
      </c>
      <c r="G10" s="26" t="n">
        <v>75.59999999999999</v>
      </c>
      <c r="H10" s="27" t="n">
        <v>5.58</v>
      </c>
    </row>
    <row r="11">
      <c r="A11" s="3" t="inlineStr">
        <is>
          <t>EBITDA and PAT Margins</t>
        </is>
      </c>
    </row>
    <row r="12" ht="20" customHeight="1">
      <c r="A12" s="4" t="inlineStr">
        <is>
          <t>Company</t>
        </is>
      </c>
      <c r="B12" s="4" t="inlineStr">
        <is>
          <t>LTM Period</t>
        </is>
      </c>
      <c r="C12" s="4" t="inlineStr">
        <is>
          <t>LTM Revenue (Cr)</t>
        </is>
      </c>
      <c r="D12" s="4" t="inlineStr">
        <is>
          <t>LTM EBITDA (Cr)</t>
        </is>
      </c>
      <c r="E12" s="4" t="inlineStr">
        <is>
          <t>LTM PAT (Cr)</t>
        </is>
      </c>
      <c r="F12" s="4" t="inlineStr">
        <is>
          <t>EBITDA Margin</t>
        </is>
      </c>
      <c r="G12" s="4" t="inlineStr">
        <is>
          <t>PAT Margin</t>
        </is>
      </c>
      <c r="H12" s="4" t="inlineStr">
        <is>
          <t>Peer Median EV/EBITDA</t>
        </is>
      </c>
    </row>
    <row r="13">
      <c r="A13" s="5" t="inlineStr">
        <is>
          <t>ATLAS</t>
        </is>
      </c>
      <c r="B13" s="22" t="inlineStr">
        <is>
          <t>FY2026</t>
        </is>
      </c>
      <c r="C13" s="6" t="n">
        <v>23155</v>
      </c>
      <c r="D13" s="6" t="n">
        <v>5306</v>
      </c>
      <c r="E13" s="6" t="n">
        <v>3545</v>
      </c>
      <c r="F13" s="16" t="n">
        <v>0.229</v>
      </c>
      <c r="G13" s="16" t="n">
        <v>0.153</v>
      </c>
      <c r="H13" s="22" t="inlineStr">
        <is>
          <t>—</t>
        </is>
      </c>
    </row>
    <row r="14">
      <c r="A14" s="12" t="inlineStr">
        <is>
          <t>HUL</t>
        </is>
      </c>
      <c r="B14" s="25" t="inlineStr">
        <is>
          <t>FY2025</t>
        </is>
      </c>
      <c r="C14" s="13" t="n">
        <v>60573</v>
      </c>
      <c r="D14" s="13" t="n">
        <v>14296</v>
      </c>
      <c r="E14" s="13" t="n">
        <v>10282</v>
      </c>
      <c r="F14" s="20" t="n">
        <v>0.236</v>
      </c>
      <c r="G14" s="20" t="n">
        <v>0.17</v>
      </c>
      <c r="H14" s="26" t="n">
        <v>39.3</v>
      </c>
    </row>
    <row r="15">
      <c r="A15" s="9" t="inlineStr">
        <is>
          <t>Britannia</t>
        </is>
      </c>
      <c r="B15" s="28" t="inlineStr">
        <is>
          <t>FY2025</t>
        </is>
      </c>
      <c r="C15" s="10" t="n">
        <v>17296</v>
      </c>
      <c r="D15" s="10" t="n">
        <v>2779</v>
      </c>
      <c r="E15" s="10" t="n">
        <v>2131</v>
      </c>
      <c r="F15" s="18" t="n">
        <v>0.161</v>
      </c>
      <c r="G15" s="18" t="n">
        <v>0.123</v>
      </c>
      <c r="H15" s="29" t="n">
        <v>39.3</v>
      </c>
    </row>
    <row r="16">
      <c r="A16" s="12" t="inlineStr">
        <is>
          <t>Marico</t>
        </is>
      </c>
      <c r="B16" s="25" t="inlineStr">
        <is>
          <t>FY2025</t>
        </is>
      </c>
      <c r="C16" s="13" t="n">
        <v>10831</v>
      </c>
      <c r="D16" s="13" t="n">
        <v>2138</v>
      </c>
      <c r="E16" s="13" t="n">
        <v>1658</v>
      </c>
      <c r="F16" s="20" t="n">
        <v>0.197</v>
      </c>
      <c r="G16" s="20" t="n">
        <v>0.153</v>
      </c>
      <c r="H16" s="26" t="n">
        <v>39.3</v>
      </c>
    </row>
    <row r="17">
      <c r="A17" s="9" t="inlineStr">
        <is>
          <t>Dabur</t>
        </is>
      </c>
      <c r="B17" s="28" t="inlineStr">
        <is>
          <t>FY2025</t>
        </is>
      </c>
      <c r="C17" s="10" t="n">
        <v>12563</v>
      </c>
      <c r="D17" s="10" t="n">
        <v>2316</v>
      </c>
      <c r="E17" s="10" t="n">
        <v>1740</v>
      </c>
      <c r="F17" s="18" t="n">
        <v>0.184</v>
      </c>
      <c r="G17" s="18" t="n">
        <v>0.139</v>
      </c>
      <c r="H17" s="29" t="n">
        <v>39.3</v>
      </c>
    </row>
    <row r="18">
      <c r="A18" s="12" t="inlineStr">
        <is>
          <t>Tata Consumer</t>
        </is>
      </c>
      <c r="B18" s="25" t="inlineStr">
        <is>
          <t>FY2025</t>
        </is>
      </c>
      <c r="C18" s="13" t="n">
        <v>17618</v>
      </c>
      <c r="D18" s="13" t="n">
        <v>2502</v>
      </c>
      <c r="E18" s="13" t="n">
        <v>1287</v>
      </c>
      <c r="F18" s="20" t="n">
        <v>0.142</v>
      </c>
      <c r="G18" s="20" t="n">
        <v>0.073</v>
      </c>
      <c r="H18" s="26" t="n">
        <v>39.3</v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Income Statement Summary — ATLAS and Peers</t>
        </is>
      </c>
    </row>
    <row r="2">
      <c r="A2" s="2" t="inlineStr">
        <is>
          <t>INR Crore. ATLAS: standalone, Ind AS. Peers: standalone except Marico and Tata Consumer (consolidated). Periods: Apr–Mar FY.</t>
        </is>
      </c>
    </row>
    <row r="4">
      <c r="A4" s="3" t="inlineStr">
        <is>
          <t>ATLAS (Nestlé India) — Standalone</t>
        </is>
      </c>
    </row>
    <row r="5" ht="20" customHeight="1">
      <c r="A5" s="4" t="inlineStr">
        <is>
          <t>Metric</t>
        </is>
      </c>
      <c r="B5" s="4" t="inlineStr">
        <is>
          <t>CY2022 (Jan–Dec)</t>
        </is>
      </c>
      <c r="C5" s="4" t="inlineStr">
        <is>
          <t>FY2025 (Apr–Mar)</t>
        </is>
      </c>
      <c r="D5" s="4" t="inlineStr">
        <is>
          <t>FY2026 (Apr–Mar)</t>
        </is>
      </c>
      <c r="E5" s="4" t="inlineStr">
        <is>
          <t>FY25→FY26 YoY</t>
        </is>
      </c>
    </row>
    <row r="6">
      <c r="A6" s="31" t="inlineStr">
        <is>
          <t>Revenue (Cr)</t>
        </is>
      </c>
      <c r="B6" s="32" t="n">
        <v>16897</v>
      </c>
      <c r="C6" s="32" t="n">
        <v>20260</v>
      </c>
      <c r="D6" s="32" t="n">
        <v>23155</v>
      </c>
      <c r="E6" s="33" t="n">
        <v>0.1428923988153998</v>
      </c>
    </row>
    <row r="7">
      <c r="A7" s="34" t="inlineStr">
        <is>
          <t>EBITDA (Cr)</t>
        </is>
      </c>
      <c r="B7" s="28" t="inlineStr">
        <is>
          <t>n/a</t>
        </is>
      </c>
      <c r="C7" s="10" t="n">
        <v>4770</v>
      </c>
      <c r="D7" s="10" t="n">
        <v>5306</v>
      </c>
      <c r="E7" s="18" t="n">
        <v>0.1123689727463312</v>
      </c>
    </row>
    <row r="8">
      <c r="A8" s="31" t="inlineStr">
        <is>
          <t>EBITDA Margin</t>
        </is>
      </c>
      <c r="B8" s="35" t="inlineStr">
        <is>
          <t>n/a</t>
        </is>
      </c>
      <c r="C8" s="33" t="n">
        <v>0.235</v>
      </c>
      <c r="D8" s="33" t="n">
        <v>0.229</v>
      </c>
      <c r="E8" s="35" t="inlineStr">
        <is>
          <t>—</t>
        </is>
      </c>
    </row>
    <row r="9">
      <c r="A9" s="34" t="inlineStr">
        <is>
          <t>PAT (Cr)</t>
        </is>
      </c>
      <c r="B9" s="10" t="n">
        <v>2391</v>
      </c>
      <c r="C9" s="10" t="n">
        <v>3315</v>
      </c>
      <c r="D9" s="10" t="n">
        <v>3545</v>
      </c>
      <c r="E9" s="18" t="n">
        <v>0.0693815987933635</v>
      </c>
    </row>
    <row r="10">
      <c r="A10" s="31" t="inlineStr">
        <is>
          <t>PAT Margin</t>
        </is>
      </c>
      <c r="B10" s="33" t="n">
        <v>0.141</v>
      </c>
      <c r="C10" s="33" t="n">
        <v>0.164</v>
      </c>
      <c r="D10" s="33" t="n">
        <v>0.153</v>
      </c>
      <c r="E10" s="35" t="inlineStr">
        <is>
          <t>—</t>
        </is>
      </c>
    </row>
    <row r="13">
      <c r="A13" s="3" t="inlineStr">
        <is>
          <t>Peers — Three-Year Income Statement</t>
        </is>
      </c>
    </row>
    <row r="14" ht="20" customHeight="1">
      <c r="A14" s="4" t="inlineStr">
        <is>
          <t>Company</t>
        </is>
      </c>
      <c r="B14" s="4" t="inlineStr">
        <is>
          <t>Rev FY23</t>
        </is>
      </c>
      <c r="C14" s="4" t="inlineStr">
        <is>
          <t>Rev FY24</t>
        </is>
      </c>
      <c r="D14" s="4" t="inlineStr">
        <is>
          <t>Rev FY25</t>
        </is>
      </c>
      <c r="E14" s="4" t="inlineStr">
        <is>
          <t>EBITDA FY23</t>
        </is>
      </c>
      <c r="F14" s="4" t="inlineStr">
        <is>
          <t>EBITDA FY24</t>
        </is>
      </c>
      <c r="G14" s="4" t="inlineStr">
        <is>
          <t>EBITDA FY25</t>
        </is>
      </c>
      <c r="H14" s="4" t="inlineStr">
        <is>
          <t>EM FY23</t>
        </is>
      </c>
      <c r="I14" s="4" t="inlineStr">
        <is>
          <t>EM FY24</t>
        </is>
      </c>
      <c r="J14" s="4" t="inlineStr">
        <is>
          <t>EM FY25</t>
        </is>
      </c>
      <c r="K14" s="4" t="inlineStr">
        <is>
          <t>PAT FY23</t>
        </is>
      </c>
      <c r="L14" s="4" t="inlineStr">
        <is>
          <t>PAT FY24</t>
        </is>
      </c>
      <c r="M14" s="4" t="inlineStr">
        <is>
          <t>PAT FY25</t>
        </is>
      </c>
      <c r="N14" s="4" t="inlineStr">
        <is>
          <t>PM FY23</t>
        </is>
      </c>
      <c r="O14" s="4" t="inlineStr">
        <is>
          <t>PM FY24</t>
        </is>
      </c>
      <c r="P14" s="4" t="inlineStr">
        <is>
          <t>PM FY25</t>
        </is>
      </c>
    </row>
    <row r="15">
      <c r="A15" s="9" t="inlineStr">
        <is>
          <t>HUL</t>
        </is>
      </c>
      <c r="B15" s="10" t="n">
        <v>59549</v>
      </c>
      <c r="C15" s="10" t="n">
        <v>60966</v>
      </c>
      <c r="D15" s="10" t="n">
        <v>60573</v>
      </c>
      <c r="E15" s="10" t="n">
        <v>14272</v>
      </c>
      <c r="F15" s="10" t="n">
        <v>14476</v>
      </c>
      <c r="G15" s="10" t="n">
        <v>14296</v>
      </c>
      <c r="H15" s="18" t="n">
        <v>0.2396681724294279</v>
      </c>
      <c r="I15" s="18" t="n">
        <v>0.2374438211462127</v>
      </c>
      <c r="J15" s="18" t="n">
        <v>0.2360127449523715</v>
      </c>
      <c r="K15" s="10" t="n">
        <v>9962</v>
      </c>
      <c r="L15" s="10" t="n">
        <v>10114</v>
      </c>
      <c r="M15" s="10" t="n">
        <v>10282</v>
      </c>
      <c r="N15" s="18" t="n">
        <v>0.1672908025323683</v>
      </c>
      <c r="O15" s="18" t="n">
        <v>0.1658957451694387</v>
      </c>
      <c r="P15" s="18" t="n">
        <v>0.1697455962227395</v>
      </c>
    </row>
    <row r="16">
      <c r="A16" s="12" t="inlineStr">
        <is>
          <t>Britannia</t>
        </is>
      </c>
      <c r="B16" s="13" t="n">
        <v>15618</v>
      </c>
      <c r="C16" s="13" t="n">
        <v>16186</v>
      </c>
      <c r="D16" s="13" t="n">
        <v>17296</v>
      </c>
      <c r="E16" s="13" t="n">
        <v>2547</v>
      </c>
      <c r="F16" s="13" t="n">
        <v>2800</v>
      </c>
      <c r="G16" s="13" t="n">
        <v>2779</v>
      </c>
      <c r="H16" s="20" t="n">
        <v>0.1630810603150211</v>
      </c>
      <c r="I16" s="20" t="n">
        <v>0.1729890028419622</v>
      </c>
      <c r="J16" s="20" t="n">
        <v>0.1606729879740981</v>
      </c>
      <c r="K16" s="13" t="n">
        <v>2139</v>
      </c>
      <c r="L16" s="13" t="n">
        <v>2082</v>
      </c>
      <c r="M16" s="13" t="n">
        <v>2131</v>
      </c>
      <c r="N16" s="20" t="n">
        <v>0.1369573568958894</v>
      </c>
      <c r="O16" s="20" t="n">
        <v>0.1286296799703447</v>
      </c>
      <c r="P16" s="20" t="n">
        <v>0.1232076780758557</v>
      </c>
    </row>
    <row r="17">
      <c r="A17" s="9" t="inlineStr">
        <is>
          <t>Marico</t>
        </is>
      </c>
      <c r="B17" s="10" t="n">
        <v>9764</v>
      </c>
      <c r="C17" s="10" t="n">
        <v>9653</v>
      </c>
      <c r="D17" s="10" t="n">
        <v>10831</v>
      </c>
      <c r="E17" s="10" t="n">
        <v>1810</v>
      </c>
      <c r="F17" s="10" t="n">
        <v>1993</v>
      </c>
      <c r="G17" s="10" t="n">
        <v>2138</v>
      </c>
      <c r="H17" s="18" t="n">
        <v>0.1853748463744367</v>
      </c>
      <c r="I17" s="18" t="n">
        <v>0.20646431161297</v>
      </c>
      <c r="J17" s="18" t="n">
        <v>0.197396362293417</v>
      </c>
      <c r="K17" s="10" t="n">
        <v>1322</v>
      </c>
      <c r="L17" s="10" t="n">
        <v>1502</v>
      </c>
      <c r="M17" s="10" t="n">
        <v>1658</v>
      </c>
      <c r="N17" s="18" t="n">
        <v>0.1353953297828759</v>
      </c>
      <c r="O17" s="18" t="n">
        <v>0.1555992955557858</v>
      </c>
      <c r="P17" s="18" t="n">
        <v>0.1530791247345582</v>
      </c>
    </row>
    <row r="18">
      <c r="A18" s="12" t="inlineStr">
        <is>
          <t>Dabur</t>
        </is>
      </c>
      <c r="B18" s="13" t="n">
        <v>11530</v>
      </c>
      <c r="C18" s="13" t="n">
        <v>12404</v>
      </c>
      <c r="D18" s="13" t="n">
        <v>12563</v>
      </c>
      <c r="E18" s="13" t="n">
        <v>2164</v>
      </c>
      <c r="F18" s="13" t="n">
        <v>2400</v>
      </c>
      <c r="G18" s="13" t="n">
        <v>2316</v>
      </c>
      <c r="H18" s="20" t="n">
        <v>0.1876843018213356</v>
      </c>
      <c r="I18" s="20" t="n">
        <v>0.1934859722670106</v>
      </c>
      <c r="J18" s="20" t="n">
        <v>0.1843508716071002</v>
      </c>
      <c r="K18" s="13" t="n">
        <v>1701</v>
      </c>
      <c r="L18" s="13" t="n">
        <v>1811</v>
      </c>
      <c r="M18" s="13" t="n">
        <v>1740</v>
      </c>
      <c r="N18" s="20" t="n">
        <v>0.1475281873373807</v>
      </c>
      <c r="O18" s="20" t="n">
        <v>0.1460012899064818</v>
      </c>
      <c r="P18" s="20" t="n">
        <v>0.1385019501711375</v>
      </c>
    </row>
    <row r="19">
      <c r="A19" s="9" t="inlineStr">
        <is>
          <t>Tata Consumer</t>
        </is>
      </c>
      <c r="B19" s="10" t="n">
        <v>13783</v>
      </c>
      <c r="C19" s="10" t="n">
        <v>15206</v>
      </c>
      <c r="D19" s="10" t="n">
        <v>17618</v>
      </c>
      <c r="E19" s="10" t="n">
        <v>1874</v>
      </c>
      <c r="F19" s="10" t="n">
        <v>2323</v>
      </c>
      <c r="G19" s="10" t="n">
        <v>2502</v>
      </c>
      <c r="H19" s="18" t="n">
        <v>0.1359645940651527</v>
      </c>
      <c r="I19" s="18" t="n">
        <v>0.152768643956333</v>
      </c>
      <c r="J19" s="18" t="n">
        <v>0.1420138494721308</v>
      </c>
      <c r="K19" s="10" t="n">
        <v>1204</v>
      </c>
      <c r="L19" s="10" t="n">
        <v>1150</v>
      </c>
      <c r="M19" s="10" t="n">
        <v>1287</v>
      </c>
      <c r="N19" s="18" t="n">
        <v>0.08735398679532758</v>
      </c>
      <c r="O19" s="18" t="n">
        <v>0.0756280415625411</v>
      </c>
      <c r="P19" s="18" t="n">
        <v>0.07305028947667158</v>
      </c>
    </row>
  </sheetData>
  <mergeCells count="4">
    <mergeCell ref="A1:P1"/>
    <mergeCell ref="A4:E4"/>
    <mergeCell ref="A13:P13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Balance Sheet Summary — Year Ended 31 March 2025</t>
        </is>
      </c>
    </row>
    <row r="2">
      <c r="A2" s="2" t="inlineStr">
        <is>
          <t>INR Crore. [TV] = To Verify: item not confirmed from primary filing.</t>
        </is>
      </c>
    </row>
    <row r="4" ht="20" customHeight="1">
      <c r="A4" s="4" t="inlineStr">
        <is>
          <t>Company</t>
        </is>
      </c>
      <c r="B4" s="4" t="inlineStr">
        <is>
          <t>Total Assets</t>
        </is>
      </c>
      <c r="C4" s="4" t="inlineStr">
        <is>
          <t>Total Equity</t>
        </is>
      </c>
      <c r="D4" s="4" t="inlineStr">
        <is>
          <t>Total Debt</t>
        </is>
      </c>
      <c r="E4" s="4" t="inlineStr">
        <is>
          <t>Cash</t>
        </is>
      </c>
      <c r="F4" s="4" t="inlineStr">
        <is>
          <t>Net Debt / (Cash)</t>
        </is>
      </c>
      <c r="G4" s="4" t="inlineStr">
        <is>
          <t>Capex</t>
        </is>
      </c>
    </row>
    <row r="5">
      <c r="A5" s="5" t="inlineStr">
        <is>
          <t>ATLAS</t>
        </is>
      </c>
      <c r="B5" s="21" t="n">
        <v>12324</v>
      </c>
      <c r="C5" s="6" t="n">
        <v>4117</v>
      </c>
      <c r="D5" s="6" t="n">
        <v>753</v>
      </c>
      <c r="E5" s="6" t="n">
        <v>76</v>
      </c>
      <c r="F5" s="21" t="n">
        <v>677</v>
      </c>
      <c r="G5" s="6" t="n">
        <v>1811</v>
      </c>
    </row>
    <row r="6">
      <c r="A6" s="12" t="inlineStr">
        <is>
          <t>HUL</t>
        </is>
      </c>
      <c r="B6" s="13" t="n">
        <v>79880</v>
      </c>
      <c r="C6" s="13" t="n">
        <v>49609</v>
      </c>
      <c r="D6" s="13" t="n">
        <v>1647</v>
      </c>
      <c r="E6" s="13" t="n">
        <v>6071</v>
      </c>
      <c r="F6" s="13" t="n">
        <v>-4424</v>
      </c>
      <c r="G6" s="13" t="n">
        <v>1211</v>
      </c>
    </row>
    <row r="7">
      <c r="A7" s="9" t="inlineStr">
        <is>
          <t>Britannia</t>
        </is>
      </c>
      <c r="B7" s="10" t="n">
        <v>8020</v>
      </c>
      <c r="C7" s="10" t="n">
        <v>3887</v>
      </c>
      <c r="D7" s="10" t="n">
        <v>1225</v>
      </c>
      <c r="E7" s="10" t="n">
        <v>38</v>
      </c>
      <c r="F7" s="10" t="n">
        <v>1187</v>
      </c>
      <c r="G7" s="10" t="n">
        <v>375</v>
      </c>
    </row>
    <row r="8">
      <c r="A8" s="12" t="inlineStr">
        <is>
          <t>Marico</t>
        </is>
      </c>
      <c r="B8" s="13" t="n">
        <v>8300</v>
      </c>
      <c r="C8" s="36" t="inlineStr">
        <is>
          <t>[TV]</t>
        </is>
      </c>
      <c r="D8" s="13" t="n">
        <v>554</v>
      </c>
      <c r="E8" s="13" t="n">
        <v>2150</v>
      </c>
      <c r="F8" s="13" t="n">
        <v>-1596</v>
      </c>
      <c r="G8" s="36" t="inlineStr">
        <is>
          <t>[TV]</t>
        </is>
      </c>
    </row>
    <row r="9">
      <c r="A9" s="9" t="inlineStr">
        <is>
          <t>Dabur</t>
        </is>
      </c>
      <c r="B9" s="10" t="n">
        <v>11006</v>
      </c>
      <c r="C9" s="10" t="n">
        <v>10801</v>
      </c>
      <c r="D9" s="10" t="n">
        <v>730</v>
      </c>
      <c r="E9" s="10" t="n">
        <v>2272</v>
      </c>
      <c r="F9" s="10" t="n">
        <v>-1542</v>
      </c>
      <c r="G9" s="10" t="n">
        <v>570</v>
      </c>
    </row>
    <row r="10">
      <c r="A10" s="12" t="inlineStr">
        <is>
          <t>Tata Consumer</t>
        </is>
      </c>
      <c r="B10" s="13" t="n">
        <v>31978</v>
      </c>
      <c r="C10" s="13" t="n">
        <v>23189</v>
      </c>
      <c r="D10" s="13" t="n">
        <v>2393</v>
      </c>
      <c r="E10" s="13" t="n">
        <v>1430</v>
      </c>
      <c r="F10" s="13" t="n">
        <v>963</v>
      </c>
      <c r="G10" s="36" t="inlineStr">
        <is>
          <t>[TV]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Revenue and EBITDA Growth — FY2023 to FY2025 (Peers)</t>
        </is>
      </c>
    </row>
    <row r="2">
      <c r="A2" s="2" t="inlineStr">
        <is>
          <t>INR Crore. 2-year CAGR. ATLAS excluded (different fiscal year convention); see Sheet 4 for ATLAS growth.</t>
        </is>
      </c>
    </row>
    <row r="4" ht="20" customHeight="1">
      <c r="A4" s="4" t="inlineStr">
        <is>
          <t>Company</t>
        </is>
      </c>
      <c r="B4" s="4" t="inlineStr">
        <is>
          <t>Rev FY23 (Cr)</t>
        </is>
      </c>
      <c r="C4" s="4" t="inlineStr">
        <is>
          <t>Rev FY25 (Cr)</t>
        </is>
      </c>
      <c r="D4" s="4" t="inlineStr">
        <is>
          <t>Rev CAGR</t>
        </is>
      </c>
      <c r="E4" s="4" t="inlineStr">
        <is>
          <t>EBITDA FY23 (Cr)</t>
        </is>
      </c>
      <c r="F4" s="4" t="inlineStr">
        <is>
          <t>EBITDA FY25 (Cr)</t>
        </is>
      </c>
      <c r="G4" s="4" t="inlineStr">
        <is>
          <t>EBITDA CAGR</t>
        </is>
      </c>
      <c r="H4" s="4" t="inlineStr">
        <is>
          <t>EBITDA Margin Improvement</t>
        </is>
      </c>
    </row>
    <row r="5">
      <c r="A5" s="9" t="inlineStr">
        <is>
          <t>HUL</t>
        </is>
      </c>
      <c r="B5" s="10" t="n">
        <v>59549</v>
      </c>
      <c r="C5" s="10" t="n">
        <v>60573</v>
      </c>
      <c r="D5" s="18" t="n">
        <v>0.008999999999999999</v>
      </c>
      <c r="E5" s="10" t="n">
        <v>14272</v>
      </c>
      <c r="F5" s="10" t="n">
        <v>14296</v>
      </c>
      <c r="G5" s="18" t="n">
        <v>0.001</v>
      </c>
      <c r="H5" s="18" t="n">
        <v>-0.003655427477056356</v>
      </c>
    </row>
    <row r="6">
      <c r="A6" s="12" t="inlineStr">
        <is>
          <t>Britannia</t>
        </is>
      </c>
      <c r="B6" s="13" t="n">
        <v>15618</v>
      </c>
      <c r="C6" s="13" t="n">
        <v>17296</v>
      </c>
      <c r="D6" s="20" t="n">
        <v>0.052</v>
      </c>
      <c r="E6" s="13" t="n">
        <v>2547</v>
      </c>
      <c r="F6" s="13" t="n">
        <v>2779</v>
      </c>
      <c r="G6" s="20" t="n">
        <v>0.044</v>
      </c>
      <c r="H6" s="20" t="n">
        <v>-0.002408072340923051</v>
      </c>
    </row>
    <row r="7">
      <c r="A7" s="9" t="inlineStr">
        <is>
          <t>Marico</t>
        </is>
      </c>
      <c r="B7" s="10" t="n">
        <v>9764</v>
      </c>
      <c r="C7" s="10" t="n">
        <v>10831</v>
      </c>
      <c r="D7" s="18" t="n">
        <v>0.053</v>
      </c>
      <c r="E7" s="10" t="n">
        <v>1810</v>
      </c>
      <c r="F7" s="10" t="n">
        <v>2138</v>
      </c>
      <c r="G7" s="18" t="n">
        <v>0.08599999999999999</v>
      </c>
      <c r="H7" s="18" t="n">
        <v>0.01202151591898032</v>
      </c>
    </row>
    <row r="8">
      <c r="A8" s="12" t="inlineStr">
        <is>
          <t>Dabur</t>
        </is>
      </c>
      <c r="B8" s="13" t="n">
        <v>11530</v>
      </c>
      <c r="C8" s="13" t="n">
        <v>12563</v>
      </c>
      <c r="D8" s="20" t="n">
        <v>0.044</v>
      </c>
      <c r="E8" s="13" t="n">
        <v>2164</v>
      </c>
      <c r="F8" s="13" t="n">
        <v>2316</v>
      </c>
      <c r="G8" s="20" t="n">
        <v>0.035</v>
      </c>
      <c r="H8" s="20" t="n">
        <v>-0.003333430214235433</v>
      </c>
    </row>
    <row r="9">
      <c r="A9" s="9" t="inlineStr">
        <is>
          <t>Tata Consumer</t>
        </is>
      </c>
      <c r="B9" s="10" t="n">
        <v>13783</v>
      </c>
      <c r="C9" s="10" t="n">
        <v>17618</v>
      </c>
      <c r="D9" s="18" t="n">
        <v>0.131</v>
      </c>
      <c r="E9" s="10" t="n">
        <v>1874</v>
      </c>
      <c r="F9" s="10" t="n">
        <v>2502</v>
      </c>
      <c r="G9" s="18" t="n">
        <v>0.156</v>
      </c>
      <c r="H9" s="18" t="n">
        <v>0.006049255406978066</v>
      </c>
    </row>
    <row r="11">
      <c r="A11" s="3" t="inlineStr">
        <is>
          <t>ATLAS — Year-on-Year Growth (FY2025 to FY2026)</t>
        </is>
      </c>
    </row>
    <row r="12" ht="20" customHeight="1">
      <c r="A12" s="4" t="inlineStr">
        <is>
          <t>Metric</t>
        </is>
      </c>
      <c r="B12" s="4" t="inlineStr">
        <is>
          <t>FY2025 (Cr)</t>
        </is>
      </c>
      <c r="C12" s="4" t="inlineStr">
        <is>
          <t>FY2026 (Cr)</t>
        </is>
      </c>
      <c r="D12" s="4" t="inlineStr">
        <is>
          <t>YoY Growth</t>
        </is>
      </c>
    </row>
    <row r="13">
      <c r="A13" s="5" t="inlineStr">
        <is>
          <t>Revenue</t>
        </is>
      </c>
      <c r="B13" s="6" t="n">
        <v>20260</v>
      </c>
      <c r="C13" s="6" t="n">
        <v>23155</v>
      </c>
      <c r="D13" s="16" t="n">
        <v>0.1428923988153998</v>
      </c>
    </row>
    <row r="14">
      <c r="A14" s="5" t="inlineStr">
        <is>
          <t>EBITDA</t>
        </is>
      </c>
      <c r="B14" s="6" t="n">
        <v>4770</v>
      </c>
      <c r="C14" s="6" t="n">
        <v>5306</v>
      </c>
      <c r="D14" s="16" t="n">
        <v>0.1123689727463312</v>
      </c>
    </row>
    <row r="15">
      <c r="A15" s="5" t="inlineStr">
        <is>
          <t>PAT</t>
        </is>
      </c>
      <c r="B15" s="6" t="n">
        <v>3315</v>
      </c>
      <c r="C15" s="6" t="n">
        <v>3545</v>
      </c>
      <c r="D15" s="16" t="n">
        <v>0.0693815987933635</v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37" t="inlineStr">
        <is>
          <t>Illustrative DCF Analysis — ATLAS</t>
        </is>
      </c>
    </row>
    <row r="2">
      <c r="A2" s="38" t="inlineStr">
        <is>
          <t>For Illustrative Purposes and Reference Only. Analyst assumptions — NOT company guidance or management projections.</t>
        </is>
      </c>
    </row>
    <row r="4">
      <c r="A4" s="3" t="inlineStr">
        <is>
          <t>Key Assumptions</t>
        </is>
      </c>
    </row>
    <row r="5">
      <c r="A5" s="39" t="inlineStr">
        <is>
          <t>Base Revenue (FY2026 LTM)</t>
        </is>
      </c>
      <c r="B5" s="40" t="inlineStr">
        <is>
          <t>INR 23,155 Cr (standalone)</t>
        </is>
      </c>
    </row>
    <row r="6">
      <c r="A6" s="41" t="inlineStr">
        <is>
          <t>Forecast Horizon</t>
        </is>
      </c>
      <c r="B6" s="42" t="inlineStr">
        <is>
          <t>10 years (FY2027–FY2036)</t>
        </is>
      </c>
    </row>
    <row r="7">
      <c r="A7" s="39" t="inlineStr">
        <is>
          <t>Revenue Growth — Phase 1 (FY2027–FY2030)</t>
        </is>
      </c>
      <c r="B7" s="40" t="inlineStr">
        <is>
          <t>13.5% p.a.</t>
        </is>
      </c>
    </row>
    <row r="8">
      <c r="A8" s="41" t="inlineStr">
        <is>
          <t>Revenue Growth — Phase 2 (FY2031–FY2034)</t>
        </is>
      </c>
      <c r="B8" s="42" t="inlineStr">
        <is>
          <t>10.0% p.a.</t>
        </is>
      </c>
    </row>
    <row r="9">
      <c r="A9" s="39" t="inlineStr">
        <is>
          <t>Revenue Growth — Phase 3 (FY2035–FY2036)</t>
        </is>
      </c>
      <c r="B9" s="40" t="inlineStr">
        <is>
          <t>7.0% p.a.</t>
        </is>
      </c>
    </row>
    <row r="10">
      <c r="A10" s="41" t="inlineStr">
        <is>
          <t>EBITDA Margin</t>
        </is>
      </c>
      <c r="B10" s="42" t="inlineStr">
        <is>
          <t>22.9% (FY2027), expanding to 24.2% by FY2033</t>
        </is>
      </c>
    </row>
    <row r="11">
      <c r="A11" s="39" t="inlineStr">
        <is>
          <t>Capex</t>
        </is>
      </c>
      <c r="B11" s="40" t="inlineStr">
        <is>
          <t>8.5% of revenue p.a. (FY2025 observed ratio)</t>
        </is>
      </c>
    </row>
    <row r="12">
      <c r="A12" s="41" t="inlineStr">
        <is>
          <t>Depreciation and Amortisation</t>
        </is>
      </c>
      <c r="B12" s="42" t="inlineStr">
        <is>
          <t>2.6% of revenue p.a.</t>
        </is>
      </c>
    </row>
    <row r="13">
      <c r="A13" s="39" t="inlineStr">
        <is>
          <t>Effective Tax Rate</t>
        </is>
      </c>
      <c r="B13" s="40" t="inlineStr">
        <is>
          <t>25.2%</t>
        </is>
      </c>
    </row>
    <row r="14">
      <c r="A14" s="41" t="inlineStr">
        <is>
          <t>NWC Change</t>
        </is>
      </c>
      <c r="B14" s="42" t="inlineStr">
        <is>
          <t>(0.5%) of revenue p.a. (net cash inflow)</t>
        </is>
      </c>
    </row>
    <row r="15">
      <c r="A15" s="39" t="inlineStr">
        <is>
          <t>Net Debt (bridge)</t>
        </is>
      </c>
      <c r="B15" s="40" t="inlineStr">
        <is>
          <t>INR 677 Cr (March 2025 balance sheet)</t>
        </is>
      </c>
    </row>
    <row r="16">
      <c r="A16" s="41" t="inlineStr">
        <is>
          <t>Shares Outstanding</t>
        </is>
      </c>
      <c r="B16" s="42" t="inlineStr">
        <is>
          <t>1,928.31 million (post August 2025 bonus)</t>
        </is>
      </c>
    </row>
    <row r="17">
      <c r="A17" s="39" t="inlineStr">
        <is>
          <t>Terminal Value Method</t>
        </is>
      </c>
      <c r="B17" s="40" t="inlineStr">
        <is>
          <t>Gordon Growth Model</t>
        </is>
      </c>
    </row>
    <row r="18">
      <c r="A18" s="41" t="inlineStr">
        <is>
          <t>WACC Range</t>
        </is>
      </c>
      <c r="B18" s="42" t="inlineStr">
        <is>
          <t>11.0% – 13.0%</t>
        </is>
      </c>
    </row>
    <row r="19">
      <c r="A19" s="39" t="inlineStr">
        <is>
          <t>Terminal Growth Rate Range</t>
        </is>
      </c>
      <c r="B19" s="40" t="inlineStr">
        <is>
          <t>5.0% – 6.0%</t>
        </is>
      </c>
    </row>
    <row r="20">
      <c r="A20" s="41" t="inlineStr">
        <is>
          <t>Risk-Free Rate</t>
        </is>
      </c>
      <c r="B20" s="42" t="inlineStr">
        <is>
          <t>7.2% (10-yr GOI bond, September 2026)</t>
        </is>
      </c>
    </row>
    <row r="21">
      <c r="A21" s="39" t="inlineStr">
        <is>
          <t>Equity Risk Premium</t>
        </is>
      </c>
      <c r="B21" s="40" t="inlineStr">
        <is>
          <t>5.5%</t>
        </is>
      </c>
    </row>
    <row r="22">
      <c r="A22" s="41" t="inlineStr">
        <is>
          <t>Beta Range</t>
        </is>
      </c>
      <c r="B22" s="42" t="inlineStr">
        <is>
          <t>0.75 – 0.95</t>
        </is>
      </c>
    </row>
    <row r="25">
      <c r="A25" s="3" t="inlineStr">
        <is>
          <t>Sensitivity — Implied Value per Share (INR)</t>
        </is>
      </c>
    </row>
    <row r="26" ht="20" customHeight="1">
      <c r="A26" s="4" t="inlineStr">
        <is>
          <t>WACC \ TGR</t>
        </is>
      </c>
      <c r="B26" s="4" t="inlineStr">
        <is>
          <t>TGR = 5.0%</t>
        </is>
      </c>
      <c r="C26" s="4" t="inlineStr">
        <is>
          <t>TGR = 5.5%</t>
        </is>
      </c>
      <c r="D26" s="4" t="inlineStr">
        <is>
          <t>TGR = 6.0%</t>
        </is>
      </c>
      <c r="E26" s="4" t="inlineStr">
        <is>
          <t>Note</t>
        </is>
      </c>
    </row>
    <row r="27">
      <c r="A27" s="43" t="inlineStr">
        <is>
          <t>WACC = 11%</t>
        </is>
      </c>
      <c r="B27" s="10" t="n">
        <v>350</v>
      </c>
      <c r="C27" s="10" t="n">
        <v>371</v>
      </c>
      <c r="D27" s="10" t="n">
        <v>397</v>
      </c>
      <c r="E27" s="2" t="inlineStr"/>
    </row>
    <row r="28">
      <c r="A28" s="43" t="inlineStr">
        <is>
          <t>WACC = 12%</t>
        </is>
      </c>
      <c r="B28" s="32" t="n">
        <v>296</v>
      </c>
      <c r="C28" s="21" t="n">
        <v>310</v>
      </c>
      <c r="D28" s="32" t="n">
        <v>327</v>
      </c>
      <c r="E28" s="2" t="inlineStr">
        <is>
          <t>← BASE CASE</t>
        </is>
      </c>
    </row>
    <row r="29">
      <c r="A29" s="43" t="inlineStr">
        <is>
          <t>WACC = 13%</t>
        </is>
      </c>
      <c r="B29" s="10" t="n">
        <v>255</v>
      </c>
      <c r="C29" s="10" t="n">
        <v>265</v>
      </c>
      <c r="D29" s="10" t="n">
        <v>277</v>
      </c>
      <c r="E29" s="2" t="inlineStr"/>
    </row>
    <row r="31">
      <c r="A31" s="3" t="inlineStr">
        <is>
          <t>Base Case Detail (WACC 12%, TGR 5.5%)</t>
        </is>
      </c>
    </row>
    <row r="32">
      <c r="A32" s="44" t="inlineStr">
        <is>
          <t>PV of FCFFs</t>
        </is>
      </c>
      <c r="B32" s="45" t="n">
        <v>24254</v>
      </c>
    </row>
    <row r="33">
      <c r="A33" s="34" t="inlineStr">
        <is>
          <t>PV of Terminal Value</t>
        </is>
      </c>
      <c r="B33" s="46" t="n">
        <v>36208</v>
      </c>
    </row>
    <row r="34">
      <c r="A34" s="47" t="inlineStr">
        <is>
          <t>TV as % of Enterprise Value</t>
        </is>
      </c>
      <c r="B34" s="48" t="n">
        <v>0.599</v>
      </c>
    </row>
    <row r="35">
      <c r="A35" s="47" t="inlineStr">
        <is>
          <t>Enterprise Value (DCF)</t>
        </is>
      </c>
      <c r="B35" s="21" t="n">
        <v>60462</v>
      </c>
    </row>
    <row r="36">
      <c r="A36" s="31" t="inlineStr">
        <is>
          <t>Equity Value (DCF)</t>
        </is>
      </c>
      <c r="B36" s="45" t="n">
        <v>59785</v>
      </c>
    </row>
    <row r="37">
      <c r="A37" s="47" t="inlineStr">
        <is>
          <t>Implied Value per Share</t>
        </is>
      </c>
      <c r="B37" s="21" t="n">
        <v>310</v>
      </c>
    </row>
    <row r="38">
      <c r="A38" s="44" t="inlineStr">
        <is>
          <t>Current Market Price</t>
        </is>
      </c>
      <c r="B38" s="49" t="n">
        <v>1362.6</v>
      </c>
    </row>
    <row r="39">
      <c r="A39" s="9" t="inlineStr">
        <is>
          <t>Premium of Current Price to DCF Base</t>
        </is>
      </c>
      <c r="B39" s="50" t="n">
        <v>3.395</v>
      </c>
    </row>
  </sheetData>
  <mergeCells count="4">
    <mergeCell ref="A2:F2"/>
    <mergeCell ref="A1:F1"/>
    <mergeCell ref="A25:E25"/>
    <mergeCell ref="A31:E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>
      <c r="A1" s="37" t="inlineStr">
        <is>
          <t>Preliminary Valuation Perspective — ATLAS</t>
        </is>
      </c>
    </row>
    <row r="2">
      <c r="A2" s="38" t="inlineStr">
        <is>
          <t>For Illustrative Purposes and Reference Only. Does not constitute a fairness opinion. Market data: 25 September 2026.</t>
        </is>
      </c>
    </row>
    <row r="4" ht="20" customHeight="1">
      <c r="A4" s="4" t="inlineStr">
        <is>
          <t>Methodology</t>
        </is>
      </c>
      <c r="B4" s="4" t="inlineStr">
        <is>
          <t>Low (INR/share)</t>
        </is>
      </c>
      <c r="C4" s="4" t="inlineStr">
        <is>
          <t>High (INR/share)</t>
        </is>
      </c>
      <c r="D4" s="4" t="inlineStr">
        <is>
          <t>Midpoint (INR/share)</t>
        </is>
      </c>
      <c r="E4" s="4" t="inlineStr">
        <is>
          <t>Current Price (INR)</t>
        </is>
      </c>
      <c r="F4" s="4" t="inlineStr">
        <is>
          <t>Basis</t>
        </is>
      </c>
    </row>
    <row r="5">
      <c r="A5" s="34" t="inlineStr">
        <is>
          <t>EV/EBITDA Comps</t>
        </is>
      </c>
      <c r="B5" s="10" t="n">
        <v>791</v>
      </c>
      <c r="C5" s="10" t="n">
        <v>1345</v>
      </c>
      <c r="D5" s="21" t="n">
        <v>1068</v>
      </c>
      <c r="E5" s="51" t="n">
        <v>1362.6</v>
      </c>
      <c r="F5" s="9" t="inlineStr">
        <is>
          <t>Peer range 28.9x–49.0x × ATLAS FY2026 EBITDA INR 5,306 Cr</t>
        </is>
      </c>
    </row>
    <row r="6">
      <c r="A6" s="31" t="inlineStr">
        <is>
          <t>P/E Comps</t>
        </is>
      </c>
      <c r="B6" s="32" t="n">
        <v>722</v>
      </c>
      <c r="C6" s="32" t="n">
        <v>1390</v>
      </c>
      <c r="D6" s="21" t="n">
        <v>1056</v>
      </c>
      <c r="E6" s="49" t="n">
        <v>1362.6</v>
      </c>
      <c r="F6" s="44" t="inlineStr">
        <is>
          <t>Peer range 39.3x–75.6x × ATLAS FY2026 PAT INR 3,545 Cr</t>
        </is>
      </c>
    </row>
    <row r="7">
      <c r="A7" s="34" t="inlineStr">
        <is>
          <t>DCF (Illustrative)</t>
        </is>
      </c>
      <c r="B7" s="10" t="n">
        <v>255</v>
      </c>
      <c r="C7" s="10" t="n">
        <v>397</v>
      </c>
      <c r="D7" s="21" t="n">
        <v>326</v>
      </c>
      <c r="E7" s="51" t="n">
        <v>1362.6</v>
      </c>
      <c r="F7" s="9" t="inlineStr">
        <is>
          <t>WACC 11–13%, TGR 5–6%; analyst assumptions only</t>
        </is>
      </c>
    </row>
    <row r="9">
      <c r="A9" s="3" t="inlineStr">
        <is>
          <t>Multiple Context at Current Price</t>
        </is>
      </c>
    </row>
    <row r="10">
      <c r="A10" s="44" t="inlineStr">
        <is>
          <t>EV/EBITDA at current price</t>
        </is>
      </c>
      <c r="B10" s="52" t="inlineStr">
        <is>
          <t>49.6x</t>
        </is>
      </c>
    </row>
    <row r="11">
      <c r="A11" s="9" t="inlineStr">
        <is>
          <t>Peer median EV/EBITDA</t>
        </is>
      </c>
      <c r="B11" s="53" t="inlineStr">
        <is>
          <t>39.3x</t>
        </is>
      </c>
    </row>
    <row r="12">
      <c r="A12" s="54" t="inlineStr">
        <is>
          <t>Premium to peer median EV/EBITDA</t>
        </is>
      </c>
      <c r="B12" s="55" t="inlineStr">
        <is>
          <t>+26%</t>
        </is>
      </c>
    </row>
    <row r="13">
      <c r="A13" s="9" t="inlineStr">
        <is>
          <t>P/E at current price</t>
        </is>
      </c>
      <c r="B13" s="53" t="inlineStr">
        <is>
          <t>74.1x</t>
        </is>
      </c>
    </row>
    <row r="14">
      <c r="A14" s="44" t="inlineStr">
        <is>
          <t>Peer median P/E</t>
        </is>
      </c>
      <c r="B14" s="52" t="inlineStr">
        <is>
          <t>55.3x</t>
        </is>
      </c>
    </row>
    <row r="15">
      <c r="A15" s="54" t="inlineStr">
        <is>
          <t>Premium to peer median P/E</t>
        </is>
      </c>
      <c r="B15" s="55" t="inlineStr">
        <is>
          <t>+34%</t>
        </is>
      </c>
    </row>
    <row r="16">
      <c r="A16" s="44" t="inlineStr">
        <is>
          <t>Current price vs EV/EBITDA comp high</t>
        </is>
      </c>
      <c r="B16" s="52" t="inlineStr">
        <is>
          <t>+1.3%</t>
        </is>
      </c>
    </row>
    <row r="17">
      <c r="A17" s="9" t="inlineStr">
        <is>
          <t>Current price vs P/E comp high</t>
        </is>
      </c>
      <c r="B17" s="53" t="inlineStr">
        <is>
          <t>(2.0%)</t>
        </is>
      </c>
    </row>
    <row r="18">
      <c r="A18" s="44" t="inlineStr">
        <is>
          <t>Current price vs DCF base case</t>
        </is>
      </c>
      <c r="B18" s="52" t="inlineStr">
        <is>
          <t>+339%</t>
        </is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60" customWidth="1" min="4" max="4"/>
  </cols>
  <sheetData>
    <row r="1">
      <c r="A1" s="56" t="inlineStr">
        <is>
          <t>[TO VERIFY] Items — Must Resolve Before Design Build</t>
        </is>
      </c>
    </row>
    <row r="3" ht="20" customHeight="1">
      <c r="A3" s="57" t="inlineStr">
        <is>
          <t>Item</t>
        </is>
      </c>
      <c r="B3" s="57" t="inlineStr">
        <is>
          <t>Entity</t>
        </is>
      </c>
      <c r="C3" s="57" t="inlineStr">
        <is>
          <t>Period</t>
        </is>
      </c>
      <c r="D3" s="57" t="inlineStr">
        <is>
          <t>Issue / Source Needed</t>
        </is>
      </c>
    </row>
    <row r="4">
      <c r="A4" s="58" t="inlineStr">
        <is>
          <t>EBITDA</t>
        </is>
      </c>
      <c r="B4" s="59" t="inlineStr">
        <is>
          <t>ATLAS</t>
        </is>
      </c>
      <c r="C4" s="59" t="inlineStr">
        <is>
          <t>CY2022</t>
        </is>
      </c>
      <c r="D4" s="60" t="inlineStr">
        <is>
          <t>Not sourced from primary filing. Check Nestlé India Annual Report CY2022 cash flow statement.</t>
        </is>
      </c>
    </row>
    <row r="5">
      <c r="A5" s="58" t="inlineStr">
        <is>
          <t>Gross profit</t>
        </is>
      </c>
      <c r="B5" s="59" t="inlineStr">
        <is>
          <t>All peers</t>
        </is>
      </c>
      <c r="C5" s="59" t="inlineStr">
        <is>
          <t>FY2025</t>
        </is>
      </c>
      <c r="D5" s="60" t="inlineStr">
        <is>
          <t>Cost of materials not sourced for HUL, Britannia, Marico, Dabur, TCPL. Check each company's P&amp;L.</t>
        </is>
      </c>
    </row>
    <row r="6">
      <c r="A6" s="58" t="inlineStr">
        <is>
          <t>Total equity</t>
        </is>
      </c>
      <c r="B6" s="59" t="inlineStr">
        <is>
          <t>Marico</t>
        </is>
      </c>
      <c r="C6" s="59" t="inlineStr">
        <is>
          <t>FY2025</t>
        </is>
      </c>
      <c r="D6" s="60" t="inlineStr">
        <is>
          <t>Approximate only (~INR 8,300 Cr). Confirm from Marico FY2025 consolidated balance sheet.</t>
        </is>
      </c>
    </row>
    <row r="7">
      <c r="A7" s="58" t="inlineStr">
        <is>
          <t>Capex</t>
        </is>
      </c>
      <c r="B7" s="59" t="inlineStr">
        <is>
          <t>Marico</t>
        </is>
      </c>
      <c r="C7" s="59" t="inlineStr">
        <is>
          <t>FY2025</t>
        </is>
      </c>
      <c r="D7" s="60" t="inlineStr">
        <is>
          <t>Not confirmed from filing. Check Marico FY2025 consolidated cash flow statement.</t>
        </is>
      </c>
    </row>
    <row r="8">
      <c r="A8" s="58" t="inlineStr">
        <is>
          <t>Capex</t>
        </is>
      </c>
      <c r="B8" s="59" t="inlineStr">
        <is>
          <t>Tata Consumer</t>
        </is>
      </c>
      <c r="C8" s="59" t="inlineStr">
        <is>
          <t>FY2025</t>
        </is>
      </c>
      <c r="D8" s="60" t="inlineStr">
        <is>
          <t>Not confirmed from filing. Check TCPL FY2025 consolidated cash flow statement.</t>
        </is>
      </c>
    </row>
    <row r="9">
      <c r="A9" s="58" t="inlineStr">
        <is>
          <t>EBITDA (exact audited)</t>
        </is>
      </c>
      <c r="B9" s="59" t="inlineStr">
        <is>
          <t>HUL</t>
        </is>
      </c>
      <c r="C9" s="59" t="inlineStr">
        <is>
          <t>FY2025</t>
        </is>
      </c>
      <c r="D9" s="60" t="inlineStr">
        <is>
          <t>Derived from 23.6% margin estimate. Confirm from HUL FY2025 standalone P&amp;L or annual report.</t>
        </is>
      </c>
    </row>
    <row r="10">
      <c r="A10" s="58" t="inlineStr">
        <is>
          <t>Total debt (classification)</t>
        </is>
      </c>
      <c r="B10" s="59" t="inlineStr">
        <is>
          <t>HUL</t>
        </is>
      </c>
      <c r="C10" s="59" t="inlineStr">
        <is>
          <t>FY2025</t>
        </is>
      </c>
      <c r="D10" s="60" t="inlineStr">
        <is>
          <t>Lease liability classification assumed. Confirm non-lease financial borrowings from HUL balance sheet notes.</t>
        </is>
      </c>
    </row>
    <row r="12">
      <c r="A12" s="3" t="inlineStr">
        <is>
          <t>Slides Dropped (Completeness Rule — 5 slides excluded)</t>
        </is>
      </c>
    </row>
    <row r="13" ht="20" customHeight="1">
      <c r="A13" s="4" t="inlineStr">
        <is>
          <t>Slide Considered</t>
        </is>
      </c>
      <c r="B13" s="4" t="inlineStr">
        <is>
          <t>Reason Dropped</t>
        </is>
      </c>
      <c r="C13" s="4" t="inlineStr">
        <is>
          <t>Data to Reinstate</t>
        </is>
      </c>
    </row>
    <row r="14">
      <c r="A14" s="12" t="inlineStr">
        <is>
          <t>VWAP / price bucket</t>
        </is>
      </c>
      <c r="B14" s="12" t="inlineStr">
        <is>
          <t>Exchange VWAP tape not public without terminal</t>
        </is>
      </c>
      <c r="C14" s="12" t="inlineStr">
        <is>
          <t>NSE VWAP data by price bucket, 52-week, all six entities</t>
        </is>
      </c>
    </row>
    <row r="15">
      <c r="A15" s="9" t="inlineStr">
        <is>
          <t>Broker target price table</t>
        </is>
      </c>
      <c r="B15" s="9" t="inlineStr">
        <is>
          <t>Named dated broker reports not confirmed for all six</t>
        </is>
      </c>
      <c r="C15" s="9" t="inlineStr">
        <is>
          <t>Bloomberg BVAL or named broker targets for all six</t>
        </is>
      </c>
    </row>
    <row r="16">
      <c r="A16" s="12" t="inlineStr">
        <is>
          <t>Precedent transaction premia</t>
        </is>
      </c>
      <c r="B16" s="12" t="inlineStr">
        <is>
          <t>No verified India F&amp;B control transactions in public domain</t>
        </is>
      </c>
      <c r="C16" s="12" t="inlineStr">
        <is>
          <t>5+ comparable India FMCG deals with values and unaffected prices</t>
        </is>
      </c>
    </row>
    <row r="17">
      <c r="A17" s="9" t="inlineStr">
        <is>
          <t>Gross margin benchmarking</t>
        </is>
      </c>
      <c r="B17" s="9" t="inlineStr">
        <is>
          <t>COGS not sourced for five peers</t>
        </is>
      </c>
      <c r="C17" s="9" t="inlineStr">
        <is>
          <t>Cost of goods sold from full P&amp;L for each peer</t>
        </is>
      </c>
    </row>
    <row r="18">
      <c r="A18" s="12" t="inlineStr">
        <is>
          <t>RoE / ROCE panel</t>
        </is>
      </c>
      <c r="B18" s="12" t="inlineStr">
        <is>
          <t>Marico equity unverified; need all five peers confirmed</t>
        </is>
      </c>
      <c r="C18" s="12" t="inlineStr">
        <is>
          <t>Audited equity and capital employed for all six entities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2026-09-27T04:01:20Z</dcterms:created>
  <dcterms:modified xmlns:dcterms="http://purl.org/dc/terms/" xmlns:xsi="http://www.w3.org/2001/XMLSchema-instance" xsi:type="dcterms:W3CDTF">2026-09-27T04:01:20Z</dcterms:modified>
</cp:coreProperties>
</file>